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workspace\attijariwafa\platforme\cahier_charges\"/>
    </mc:Choice>
  </mc:AlternateContent>
  <bookViews>
    <workbookView xWindow="0" yWindow="0" windowWidth="19200" windowHeight="7190"/>
  </bookViews>
  <sheets>
    <sheet name="Fiche Instruction" sheetId="8" r:id="rId1"/>
    <sheet name="Feuil1" sheetId="9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9" l="1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L24" i="8"/>
  <c r="C25" i="8"/>
  <c r="D25" i="8"/>
  <c r="E25" i="8"/>
  <c r="F25" i="8"/>
  <c r="G25" i="8"/>
  <c r="H25" i="8"/>
  <c r="I25" i="8"/>
  <c r="J25" i="8"/>
  <c r="B25" i="8"/>
  <c r="L19" i="8"/>
  <c r="L20" i="8"/>
  <c r="L21" i="8"/>
  <c r="L18" i="8"/>
  <c r="L26" i="8" l="1"/>
</calcChain>
</file>

<file path=xl/sharedStrings.xml><?xml version="1.0" encoding="utf-8"?>
<sst xmlns="http://schemas.openxmlformats.org/spreadsheetml/2006/main" count="72" uniqueCount="63">
  <si>
    <t>Cadrage</t>
  </si>
  <si>
    <t>Conception</t>
  </si>
  <si>
    <t>Test Unitaire</t>
  </si>
  <si>
    <t>Test d'Intégration</t>
  </si>
  <si>
    <t>Assistance Recette Utilisateur/ UAT</t>
  </si>
  <si>
    <t>Déploiement</t>
  </si>
  <si>
    <t>Filiale :</t>
  </si>
  <si>
    <t>Phases</t>
  </si>
  <si>
    <t>Instruction</t>
  </si>
  <si>
    <t>Demandeur Filiale :</t>
  </si>
  <si>
    <t>Descriptif du Besoin :</t>
  </si>
  <si>
    <t>Chef de projet IT AFrica:</t>
  </si>
  <si>
    <t>Réalisation</t>
  </si>
  <si>
    <t>Recette</t>
  </si>
  <si>
    <t>Date Début</t>
  </si>
  <si>
    <t>Date Fin</t>
  </si>
  <si>
    <t>Intervenant/Phase projet</t>
  </si>
  <si>
    <t>Planning prévisionnel</t>
  </si>
  <si>
    <t>Chiffrage prévisionnel</t>
  </si>
  <si>
    <t>Charge / phase</t>
  </si>
  <si>
    <t>Total charge / intervenant</t>
  </si>
  <si>
    <t>FICHE D'INSTRUCTION</t>
  </si>
  <si>
    <t>Date Soumission filiale</t>
  </si>
  <si>
    <t>Ref Demande/ Projet :</t>
  </si>
  <si>
    <t>Date Validation Instruction:</t>
  </si>
  <si>
    <t>Date MEP</t>
  </si>
  <si>
    <t>Charge Totale (JH)</t>
  </si>
  <si>
    <t>Charge estimée globale :</t>
  </si>
  <si>
    <t>Développement/ Paramétrage</t>
  </si>
  <si>
    <t>Administration                        Technique</t>
  </si>
  <si>
    <t xml:space="preserve">A noter </t>
  </si>
  <si>
    <t>La charge Pilotage est ventilée sur les différentes phases</t>
  </si>
  <si>
    <t xml:space="preserve">Post Déploiement </t>
  </si>
  <si>
    <t>Assistance Post Déploiement</t>
  </si>
  <si>
    <t>NA pour les  demandes d'évolutions</t>
  </si>
  <si>
    <t xml:space="preserve">La charge relative à l'assistance post déploiement(si applicable) est à intégrer dans la phase de déploiement pour les  demandes d'évolutions </t>
  </si>
  <si>
    <t>AWBE</t>
  </si>
  <si>
    <t>Exigences réglementaires PCC</t>
  </si>
  <si>
    <t xml:space="preserve">Exigences réglementaires PCC-AWB-Belgique </t>
  </si>
  <si>
    <t>XX/XX/2026</t>
  </si>
  <si>
    <t>Collaborateur 1 : SABRI Omar</t>
  </si>
  <si>
    <t>Collaborateur 2 Hicham KHAIZOURI</t>
  </si>
  <si>
    <t>PLANNING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</si>
  <si>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</si>
  <si>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</si>
  <si>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</si>
  <si>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</si>
  <si>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</si>
  <si>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</si>
  <si>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</si>
  <si>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</si>
  <si>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</si>
  <si>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</si>
  <si>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</si>
  <si>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</si>
  <si>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</si>
  <si>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</si>
  <si>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Developpement</t>
  </si>
  <si>
    <t>Tests unitaires</t>
  </si>
  <si>
    <t>UAT</t>
  </si>
  <si>
    <t>Préparation / Analyse</t>
  </si>
  <si>
    <t>MEP /POST MEP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</si>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</sst>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entury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B9BD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0" xfId="0" applyNumberFormat="1" applyFont="1"/>
    <xf numFmtId="0" fontId="3" fillId="0" borderId="2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8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 applyAlignment="1">
      <alignment vertical="top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0" fillId="0" borderId="7" xfId="0" applyFont="1" applyBorder="1" applyAlignment="1">
      <alignment horizontal="right"/>
    </xf>
    <xf numFmtId="14" fontId="10" fillId="0" borderId="9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4" fontId="11" fillId="0" borderId="9" xfId="0" applyNumberFormat="1" applyFont="1" applyBorder="1" applyAlignment="1">
      <alignment horizontal="right"/>
    </xf>
    <xf numFmtId="0" fontId="10" fillId="0" borderId="11" xfId="0" applyFont="1" applyBorder="1" applyAlignment="1">
      <alignment horizontal="right" vertical="top" wrapText="1"/>
    </xf>
    <xf numFmtId="14" fontId="12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4" fontId="11" fillId="0" borderId="0" xfId="0" applyNumberFormat="1" applyFont="1" applyBorder="1" applyAlignment="1">
      <alignment horizontal="right"/>
    </xf>
    <xf numFmtId="0" fontId="2" fillId="0" borderId="6" xfId="0" applyFont="1" applyFill="1" applyBorder="1"/>
    <xf numFmtId="0" fontId="11" fillId="0" borderId="7" xfId="0" applyFont="1" applyFill="1" applyBorder="1" applyAlignment="1">
      <alignment horizontal="right"/>
    </xf>
    <xf numFmtId="0" fontId="2" fillId="0" borderId="8" xfId="0" applyFont="1" applyFill="1" applyBorder="1"/>
    <xf numFmtId="0" fontId="1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Border="1"/>
    <xf numFmtId="0" fontId="13" fillId="0" borderId="1" xfId="0" applyFont="1" applyFill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14" fontId="5" fillId="0" borderId="1" xfId="0" applyNumberFormat="1" applyFont="1" applyBorder="1" applyAlignment="1">
      <alignment vertical="center" wrapText="1"/>
    </xf>
    <xf numFmtId="49" fontId="11" fillId="0" borderId="15" xfId="0" applyNumberFormat="1" applyFont="1" applyFill="1" applyBorder="1" applyAlignment="1">
      <alignment horizontal="right"/>
    </xf>
    <xf numFmtId="0" fontId="2" fillId="0" borderId="16" xfId="0" applyFont="1" applyBorder="1" applyAlignment="1">
      <alignment vertical="top" wrapText="1"/>
    </xf>
    <xf numFmtId="0" fontId="14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16" fontId="14" fillId="0" borderId="1" xfId="0" applyNumberFormat="1" applyFont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12700</xdr:rowOff>
    </xdr:from>
    <xdr:to>
      <xdr:col>0</xdr:col>
      <xdr:colOff>1173480</xdr:colOff>
      <xdr:row>0</xdr:row>
      <xdr:rowOff>469265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7227AB3C-A79C-4191-976F-B5DBE69453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2700"/>
          <a:ext cx="1106805" cy="469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showGridLines="0" tabSelected="1" zoomScale="45" zoomScaleNormal="45" workbookViewId="0">
      <selection activeCell="E31" sqref="E31"/>
    </sheetView>
  </sheetViews>
  <sheetFormatPr baseColWidth="10" defaultRowHeight="14.5" x14ac:dyDescent="0.35"/>
  <cols>
    <col min="1" max="1" width="26.54296875" customWidth="1"/>
    <col min="2" max="2" width="19.1796875" customWidth="1"/>
    <col min="3" max="3" width="20.81640625" customWidth="1"/>
    <col min="4" max="4" width="26.81640625" bestFit="1" customWidth="1"/>
    <col min="5" max="5" width="26.81640625" customWidth="1"/>
    <col min="6" max="6" width="20.81640625" customWidth="1"/>
    <col min="7" max="7" width="14.1796875" customWidth="1"/>
    <col min="8" max="8" width="15.453125" customWidth="1"/>
    <col min="9" max="9" width="16.26953125" customWidth="1"/>
    <col min="10" max="11" width="14.26953125" customWidth="1"/>
  </cols>
  <sheetData>
    <row r="1" spans="1:8" ht="38.15" customHeight="1" x14ac:dyDescent="0.35">
      <c r="C1" s="55" t="s">
        <v>21</v>
      </c>
      <c r="D1" s="55"/>
    </row>
    <row r="2" spans="1:8" ht="15" thickBot="1" x14ac:dyDescent="0.4"/>
    <row r="3" spans="1:8" ht="15" thickBot="1" x14ac:dyDescent="0.4">
      <c r="A3" s="2"/>
      <c r="B3" s="4"/>
      <c r="C3" s="34" t="s">
        <v>6</v>
      </c>
      <c r="D3" s="35" t="s">
        <v>36</v>
      </c>
    </row>
    <row r="4" spans="1:8" ht="15" thickBot="1" x14ac:dyDescent="0.4">
      <c r="A4" s="2"/>
      <c r="B4" s="4"/>
      <c r="C4" s="36" t="s">
        <v>23</v>
      </c>
      <c r="D4" s="46" t="s">
        <v>37</v>
      </c>
      <c r="E4" s="2"/>
    </row>
    <row r="5" spans="1:8" ht="16.5" customHeight="1" thickBot="1" x14ac:dyDescent="0.4">
      <c r="A5" s="2"/>
      <c r="B5" s="4"/>
      <c r="C5" s="4"/>
      <c r="E5" s="2"/>
    </row>
    <row r="6" spans="1:8" ht="15" thickBot="1" x14ac:dyDescent="0.4">
      <c r="A6" s="19" t="s">
        <v>9</v>
      </c>
      <c r="B6" s="25"/>
      <c r="C6" s="4"/>
      <c r="E6" s="19" t="s">
        <v>11</v>
      </c>
      <c r="F6" s="25"/>
      <c r="G6" s="4"/>
    </row>
    <row r="7" spans="1:8" ht="44" thickBot="1" x14ac:dyDescent="0.4">
      <c r="A7" s="21" t="s">
        <v>10</v>
      </c>
      <c r="B7" s="47" t="s">
        <v>38</v>
      </c>
      <c r="C7" s="4"/>
      <c r="D7" s="4"/>
      <c r="E7" s="47" t="s">
        <v>38</v>
      </c>
      <c r="F7" s="29"/>
      <c r="G7" s="4"/>
    </row>
    <row r="8" spans="1:8" ht="30.65" customHeight="1" thickBot="1" x14ac:dyDescent="0.4">
      <c r="A8" s="22" t="s">
        <v>22</v>
      </c>
      <c r="B8" s="30"/>
      <c r="C8" s="18"/>
      <c r="D8" s="18"/>
      <c r="E8" s="20" t="s">
        <v>24</v>
      </c>
      <c r="F8" s="26"/>
      <c r="G8" s="4"/>
    </row>
    <row r="9" spans="1:8" ht="19" customHeight="1" thickBot="1" x14ac:dyDescent="0.4">
      <c r="A9" s="3"/>
      <c r="B9" s="5"/>
      <c r="C9" s="5"/>
      <c r="D9" s="5"/>
      <c r="E9" s="2"/>
      <c r="F9" s="8"/>
      <c r="G9" s="4"/>
    </row>
    <row r="10" spans="1:8" x14ac:dyDescent="0.35">
      <c r="C10" s="23" t="s">
        <v>26</v>
      </c>
      <c r="D10" s="27">
        <v>70</v>
      </c>
      <c r="E10" s="4"/>
      <c r="F10" s="4"/>
    </row>
    <row r="11" spans="1:8" ht="15" customHeight="1" thickBot="1" x14ac:dyDescent="0.4">
      <c r="C11" s="24" t="s">
        <v>14</v>
      </c>
      <c r="D11" s="28" t="s">
        <v>39</v>
      </c>
      <c r="E11" s="4"/>
      <c r="F11" s="4"/>
    </row>
    <row r="12" spans="1:8" ht="15" thickBot="1" x14ac:dyDescent="0.4">
      <c r="C12" s="31" t="s">
        <v>25</v>
      </c>
      <c r="D12" s="28" t="s">
        <v>39</v>
      </c>
      <c r="E12" s="4"/>
      <c r="F12" s="4"/>
    </row>
    <row r="13" spans="1:8" x14ac:dyDescent="0.35">
      <c r="C13" s="32"/>
      <c r="D13" s="33"/>
      <c r="E13" s="4"/>
      <c r="F13" s="4"/>
    </row>
    <row r="14" spans="1:8" x14ac:dyDescent="0.35">
      <c r="D14" s="4"/>
      <c r="E14" s="4"/>
      <c r="F14" s="4"/>
    </row>
    <row r="15" spans="1:8" x14ac:dyDescent="0.35">
      <c r="A15" s="2"/>
      <c r="B15" s="8"/>
      <c r="C15" s="4"/>
      <c r="D15" s="4"/>
      <c r="E15" s="4"/>
      <c r="F15" s="4"/>
    </row>
    <row r="16" spans="1:8" ht="18.5" x14ac:dyDescent="0.45">
      <c r="A16" s="14" t="s">
        <v>18</v>
      </c>
      <c r="E16" s="52" t="s">
        <v>12</v>
      </c>
      <c r="F16" s="53"/>
      <c r="G16" s="53"/>
      <c r="H16" s="54"/>
    </row>
    <row r="17" spans="1:13" ht="45.65" customHeight="1" x14ac:dyDescent="0.35">
      <c r="A17" s="1" t="s">
        <v>16</v>
      </c>
      <c r="B17" s="6" t="s">
        <v>8</v>
      </c>
      <c r="C17" s="6" t="s">
        <v>0</v>
      </c>
      <c r="D17" s="6" t="s">
        <v>1</v>
      </c>
      <c r="E17" s="6" t="s">
        <v>29</v>
      </c>
      <c r="F17" s="6" t="s">
        <v>28</v>
      </c>
      <c r="G17" s="6" t="s">
        <v>2</v>
      </c>
      <c r="H17" s="6" t="s">
        <v>3</v>
      </c>
      <c r="I17" s="6" t="s">
        <v>4</v>
      </c>
      <c r="J17" s="6" t="s">
        <v>5</v>
      </c>
      <c r="K17" s="6" t="s">
        <v>33</v>
      </c>
      <c r="L17" s="15" t="s">
        <v>20</v>
      </c>
    </row>
    <row r="18" spans="1:13" ht="29.15" customHeight="1" x14ac:dyDescent="0.35">
      <c r="A18" s="38" t="s">
        <v>40</v>
      </c>
      <c r="B18" s="7"/>
      <c r="C18" s="7"/>
      <c r="D18" s="7">
        <v>10</v>
      </c>
      <c r="F18" s="7">
        <v>30</v>
      </c>
      <c r="G18" s="7">
        <v>10</v>
      </c>
      <c r="H18" s="7"/>
      <c r="I18" s="7">
        <v>13</v>
      </c>
      <c r="J18" s="7">
        <v>2</v>
      </c>
      <c r="K18" s="56" t="s">
        <v>34</v>
      </c>
      <c r="L18" s="7">
        <f>SUM(B18:J18)</f>
        <v>65</v>
      </c>
      <c r="M18" s="9"/>
    </row>
    <row r="19" spans="1:13" ht="29" x14ac:dyDescent="0.35">
      <c r="A19" s="38" t="s">
        <v>41</v>
      </c>
      <c r="B19" s="7"/>
      <c r="C19" s="7"/>
      <c r="D19" s="7">
        <v>5</v>
      </c>
      <c r="E19" s="7"/>
      <c r="F19" s="7"/>
      <c r="G19" s="7"/>
      <c r="H19" s="7"/>
      <c r="I19" s="7"/>
      <c r="J19" s="7"/>
      <c r="K19" s="57"/>
      <c r="L19" s="7">
        <f>SUM(B19:J19)</f>
        <v>5</v>
      </c>
    </row>
    <row r="20" spans="1:13" x14ac:dyDescent="0.35">
      <c r="A20" s="39"/>
      <c r="B20" s="7"/>
      <c r="C20" s="7"/>
      <c r="D20" s="7"/>
      <c r="E20" s="7"/>
      <c r="F20" s="7"/>
      <c r="G20" s="7"/>
      <c r="H20" s="7"/>
      <c r="I20" s="7"/>
      <c r="J20" s="7"/>
      <c r="K20" s="57"/>
      <c r="L20" s="7">
        <f>SUM(B20:J20)</f>
        <v>0</v>
      </c>
    </row>
    <row r="21" spans="1:13" x14ac:dyDescent="0.35">
      <c r="A21" s="38"/>
      <c r="B21" s="7"/>
      <c r="C21" s="7"/>
      <c r="D21" s="7"/>
      <c r="E21" s="7"/>
      <c r="F21" s="7"/>
      <c r="G21" s="7"/>
      <c r="H21" s="7"/>
      <c r="I21" s="7"/>
      <c r="J21" s="7"/>
      <c r="K21" s="57"/>
      <c r="L21" s="7">
        <f>SUM(B21:J21)</f>
        <v>0</v>
      </c>
    </row>
    <row r="22" spans="1:13" x14ac:dyDescent="0.35">
      <c r="A22" s="38"/>
      <c r="B22" s="7"/>
      <c r="C22" s="7"/>
      <c r="D22" s="7"/>
      <c r="E22" s="7"/>
      <c r="F22" s="7"/>
      <c r="G22" s="7"/>
      <c r="H22" s="7"/>
      <c r="I22" s="7"/>
      <c r="J22" s="7"/>
      <c r="K22" s="57"/>
      <c r="L22" s="7"/>
    </row>
    <row r="23" spans="1:13" x14ac:dyDescent="0.35">
      <c r="A23" s="38"/>
      <c r="B23" s="7"/>
      <c r="C23" s="7"/>
      <c r="D23" s="7"/>
      <c r="E23" s="7"/>
      <c r="F23" s="7"/>
      <c r="G23" s="7"/>
      <c r="H23" s="7"/>
      <c r="I23" s="7"/>
      <c r="J23" s="7"/>
      <c r="K23" s="57"/>
      <c r="L23" s="7"/>
    </row>
    <row r="24" spans="1:13" x14ac:dyDescent="0.35">
      <c r="A24" s="38"/>
      <c r="B24" s="7"/>
      <c r="C24" s="7"/>
      <c r="D24" s="7"/>
      <c r="E24" s="7"/>
      <c r="F24" s="7"/>
      <c r="G24" s="7"/>
      <c r="H24" s="7"/>
      <c r="I24" s="7"/>
      <c r="J24" s="7"/>
      <c r="K24" s="58"/>
      <c r="L24" s="7">
        <f>SUM(B24:J24)</f>
        <v>0</v>
      </c>
    </row>
    <row r="25" spans="1:13" x14ac:dyDescent="0.35">
      <c r="A25" s="16" t="s">
        <v>19</v>
      </c>
      <c r="B25" s="17">
        <f>SUM(B18:B24)</f>
        <v>0</v>
      </c>
      <c r="C25" s="17">
        <f t="shared" ref="C25:J25" si="0">SUM(C18:C24)</f>
        <v>0</v>
      </c>
      <c r="D25" s="17">
        <f t="shared" si="0"/>
        <v>15</v>
      </c>
      <c r="E25" s="17">
        <f t="shared" si="0"/>
        <v>0</v>
      </c>
      <c r="F25" s="17">
        <f>SUM(F18:F24)</f>
        <v>30</v>
      </c>
      <c r="G25" s="17">
        <f t="shared" si="0"/>
        <v>10</v>
      </c>
      <c r="H25" s="17">
        <f t="shared" si="0"/>
        <v>0</v>
      </c>
      <c r="I25" s="17">
        <f t="shared" si="0"/>
        <v>13</v>
      </c>
      <c r="J25" s="17">
        <f t="shared" si="0"/>
        <v>2</v>
      </c>
      <c r="K25" s="17"/>
      <c r="L25" s="17"/>
    </row>
    <row r="26" spans="1:13" ht="25" x14ac:dyDescent="0.35">
      <c r="A26" s="40" t="s">
        <v>30</v>
      </c>
      <c r="B26" s="41" t="s">
        <v>31</v>
      </c>
      <c r="C26" s="4"/>
      <c r="D26" s="4"/>
      <c r="E26" s="4"/>
      <c r="F26" s="4"/>
      <c r="J26" s="15"/>
      <c r="K26" s="15" t="s">
        <v>27</v>
      </c>
      <c r="L26" s="15" t="str">
        <f>_xlfn.CONCAT(SUM(L18:L24)," JH")</f>
        <v>70 JH</v>
      </c>
    </row>
    <row r="27" spans="1:13" x14ac:dyDescent="0.35">
      <c r="A27" s="4"/>
      <c r="B27" s="4" t="s">
        <v>35</v>
      </c>
      <c r="C27" s="4"/>
      <c r="D27" s="4"/>
      <c r="E27" s="4"/>
      <c r="F27" s="4"/>
    </row>
    <row r="29" spans="1:13" ht="18.5" x14ac:dyDescent="0.45">
      <c r="A29" s="14" t="s">
        <v>17</v>
      </c>
    </row>
    <row r="30" spans="1:13" x14ac:dyDescent="0.35">
      <c r="A30" s="12" t="s">
        <v>7</v>
      </c>
      <c r="B30" s="13" t="s">
        <v>14</v>
      </c>
      <c r="C30" s="13" t="s">
        <v>15</v>
      </c>
      <c r="D30" s="11"/>
    </row>
    <row r="31" spans="1:13" ht="15.5" x14ac:dyDescent="0.35">
      <c r="A31" s="37" t="s">
        <v>8</v>
      </c>
      <c r="B31" s="45"/>
      <c r="C31" s="45"/>
      <c r="D31" s="10"/>
    </row>
    <row r="32" spans="1:13" ht="15.5" x14ac:dyDescent="0.35">
      <c r="A32" s="37" t="s">
        <v>0</v>
      </c>
      <c r="B32" s="45"/>
      <c r="C32" s="44"/>
      <c r="D32" s="10"/>
    </row>
    <row r="33" spans="1:17" ht="15.5" x14ac:dyDescent="0.35">
      <c r="A33" s="37" t="s">
        <v>1</v>
      </c>
      <c r="B33" s="45"/>
      <c r="C33" s="45"/>
      <c r="D33" s="10"/>
    </row>
    <row r="34" spans="1:17" ht="15.5" x14ac:dyDescent="0.35">
      <c r="A34" s="37" t="s">
        <v>12</v>
      </c>
      <c r="B34" s="44"/>
      <c r="C34" s="44"/>
      <c r="D34" s="10"/>
    </row>
    <row r="35" spans="1:17" ht="15.5" x14ac:dyDescent="0.35">
      <c r="A35" s="37" t="s">
        <v>13</v>
      </c>
      <c r="B35" s="44"/>
      <c r="C35" s="44"/>
      <c r="D35" s="10"/>
    </row>
    <row r="36" spans="1:17" ht="15.5" x14ac:dyDescent="0.35">
      <c r="A36" s="37" t="s">
        <v>5</v>
      </c>
      <c r="B36" s="44"/>
      <c r="C36" s="44"/>
      <c r="D36" s="10"/>
    </row>
    <row r="37" spans="1:17" ht="15.5" x14ac:dyDescent="0.35">
      <c r="A37" s="42" t="s">
        <v>32</v>
      </c>
      <c r="B37" s="43"/>
      <c r="C37" s="43"/>
    </row>
    <row r="41" spans="1:17" ht="16" x14ac:dyDescent="0.35">
      <c r="B41" s="5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r="42" spans="1:17" ht="16" x14ac:dyDescent="0.35">
      <c r="B42" s="59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17" ht="16" x14ac:dyDescent="0.35"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3"/>
    </row>
    <row r="44" spans="1:17" ht="16" x14ac:dyDescent="0.35">
      <c r="B44" s="48"/>
      <c r="C44" s="48"/>
      <c r="D44" s="49"/>
      <c r="E44" s="49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3"/>
    </row>
    <row r="45" spans="1:17" ht="16" x14ac:dyDescent="0.35">
      <c r="B45" s="48"/>
      <c r="C45" s="48"/>
      <c r="D45" s="48"/>
      <c r="F45" s="49"/>
      <c r="G45" s="49"/>
      <c r="H45" s="49"/>
      <c r="I45" s="49"/>
      <c r="J45" s="49"/>
      <c r="K45" s="49"/>
      <c r="L45" s="48"/>
      <c r="M45" s="48"/>
      <c r="N45" s="48"/>
      <c r="O45" s="48"/>
      <c r="P45" s="48"/>
      <c r="Q45" s="43"/>
    </row>
    <row r="46" spans="1:17" ht="16" x14ac:dyDescent="0.35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49"/>
      <c r="N46" s="48"/>
      <c r="O46" s="48"/>
      <c r="P46" s="48"/>
      <c r="Q46" s="43"/>
    </row>
    <row r="47" spans="1:17" ht="16" x14ac:dyDescent="0.35">
      <c r="B47" s="51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9"/>
      <c r="O47" s="49"/>
      <c r="P47" s="49"/>
      <c r="Q47" s="43"/>
    </row>
    <row r="48" spans="1:17" ht="16" x14ac:dyDescent="0.35">
      <c r="B48" s="5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9"/>
    </row>
  </sheetData>
  <mergeCells count="4">
    <mergeCell ref="E16:H16"/>
    <mergeCell ref="C1:D1"/>
    <mergeCell ref="K18:K24"/>
    <mergeCell ref="B41:B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sqref="A1:P8"/>
    </sheetView>
  </sheetViews>
  <sheetFormatPr baseColWidth="10" defaultRowHeight="14.5" x14ac:dyDescent="0.35"/>
  <cols>
    <col min="1" max="1" width="25.54296875" bestFit="1" customWidth="1"/>
  </cols>
  <sheetData>
    <row r="1" spans="1:16" ht="16" x14ac:dyDescent="0.35">
      <c r="A1" s="59" t="s">
        <v>42</v>
      </c>
      <c r="B1" s="50">
        <v>46013</v>
      </c>
      <c r="C1" s="50">
        <f>B1+7</f>
        <v>46020</v>
      </c>
      <c r="D1" s="50">
        <f t="shared" ref="D1:P1" si="0">C1+7</f>
        <v>46027</v>
      </c>
      <c r="E1" s="50">
        <f t="shared" si="0"/>
        <v>46034</v>
      </c>
      <c r="F1" s="50">
        <f t="shared" si="0"/>
        <v>46041</v>
      </c>
      <c r="G1" s="50">
        <f t="shared" si="0"/>
        <v>46048</v>
      </c>
      <c r="H1" s="50">
        <f t="shared" si="0"/>
        <v>46055</v>
      </c>
      <c r="I1" s="50">
        <f t="shared" si="0"/>
        <v>46062</v>
      </c>
      <c r="J1" s="50">
        <f t="shared" si="0"/>
        <v>46069</v>
      </c>
      <c r="K1" s="50">
        <f t="shared" si="0"/>
        <v>46076</v>
      </c>
      <c r="L1" s="50">
        <f t="shared" si="0"/>
        <v>46083</v>
      </c>
      <c r="M1" s="50">
        <f t="shared" si="0"/>
        <v>46090</v>
      </c>
      <c r="N1" s="50">
        <f t="shared" si="0"/>
        <v>46097</v>
      </c>
      <c r="O1" s="50">
        <f t="shared" si="0"/>
        <v>46104</v>
      </c>
      <c r="P1" s="50">
        <f t="shared" si="0"/>
        <v>46111</v>
      </c>
    </row>
    <row r="2" spans="1:16" ht="16" x14ac:dyDescent="0.35">
      <c r="A2" s="59"/>
      <c r="B2" s="48" t="s">
        <v>43</v>
      </c>
      <c r="C2" s="48" t="s">
        <v>44</v>
      </c>
      <c r="D2" s="48" t="s">
        <v>45</v>
      </c>
      <c r="E2" s="48" t="s">
        <v>46</v>
      </c>
      <c r="F2" s="48" t="s">
        <v>47</v>
      </c>
      <c r="G2" s="48" t="s">
        <v>48</v>
      </c>
      <c r="H2" s="48" t="s">
        <v>49</v>
      </c>
      <c r="I2" s="48" t="s">
        <v>50</v>
      </c>
      <c r="J2" s="48" t="s">
        <v>51</v>
      </c>
      <c r="K2" s="48" t="s">
        <v>52</v>
      </c>
      <c r="L2" s="48" t="s">
        <v>53</v>
      </c>
      <c r="M2" s="48" t="s">
        <v>54</v>
      </c>
      <c r="N2" s="48" t="s">
        <v>55</v>
      </c>
      <c r="O2" s="48" t="s">
        <v>56</v>
      </c>
      <c r="P2" s="48" t="s">
        <v>62</v>
      </c>
    </row>
    <row r="3" spans="1:16" ht="16" x14ac:dyDescent="0.35">
      <c r="A3" s="48" t="s">
        <v>60</v>
      </c>
      <c r="B3" s="49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3"/>
    </row>
    <row r="4" spans="1:16" ht="16" x14ac:dyDescent="0.35">
      <c r="A4" s="48" t="s">
        <v>1</v>
      </c>
      <c r="B4" s="48"/>
      <c r="C4" s="49"/>
      <c r="D4" s="49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3"/>
    </row>
    <row r="5" spans="1:16" ht="16" x14ac:dyDescent="0.35">
      <c r="A5" s="48" t="s">
        <v>57</v>
      </c>
      <c r="B5" s="48"/>
      <c r="C5" s="48"/>
      <c r="E5" s="49"/>
      <c r="F5" s="49"/>
      <c r="G5" s="49"/>
      <c r="H5" s="49"/>
      <c r="I5" s="49"/>
      <c r="J5" s="49"/>
      <c r="K5" s="48"/>
      <c r="L5" s="48"/>
      <c r="M5" s="48"/>
      <c r="N5" s="48"/>
      <c r="O5" s="48"/>
      <c r="P5" s="43"/>
    </row>
    <row r="6" spans="1:16" ht="16" x14ac:dyDescent="0.35">
      <c r="A6" s="48" t="s">
        <v>58</v>
      </c>
      <c r="B6" s="48"/>
      <c r="C6" s="48"/>
      <c r="D6" s="48"/>
      <c r="E6" s="48"/>
      <c r="F6" s="48"/>
      <c r="G6" s="48"/>
      <c r="H6" s="48"/>
      <c r="I6" s="48"/>
      <c r="J6" s="48"/>
      <c r="K6" s="49"/>
      <c r="L6" s="49"/>
      <c r="M6" s="48"/>
      <c r="N6" s="48"/>
      <c r="O6" s="48"/>
      <c r="P6" s="43"/>
    </row>
    <row r="7" spans="1:16" ht="16" x14ac:dyDescent="0.35">
      <c r="A7" s="51" t="s">
        <v>59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9"/>
      <c r="N7" s="49"/>
      <c r="O7" s="49"/>
      <c r="P7" s="43"/>
    </row>
    <row r="8" spans="1:16" ht="16" x14ac:dyDescent="0.35">
      <c r="A8" s="51" t="s">
        <v>61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9"/>
    </row>
  </sheetData>
  <mergeCells count="1">
    <mergeCell ref="A1:A2"/>
  </mergeCells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DOCUMENTGUID%">{00000000-0000-0000-0000-000000000000}</XMLData>
</file>

<file path=customXml/item2.xml><?xml version="1.0" encoding="utf-8"?>
<XMLData TextToDisplay="%CLASSIFICATIONDATETIME%">13:45 23/03/2023</XMLData>
</file>

<file path=customXml/item3.xml><?xml version="1.0" encoding="utf-8"?>
<XMLData TextToDisplay="RightsWATCHMark">3|AWB-GEN-DDSR|{00000000-0000-0000-0000-000000000000}</XMLData>
</file>

<file path=customXml/itemProps1.xml><?xml version="1.0" encoding="utf-8"?>
<ds:datastoreItem xmlns:ds="http://schemas.openxmlformats.org/officeDocument/2006/customXml" ds:itemID="{7EBC9C26-D88B-464D-BDBB-7B2C040B7756}">
  <ds:schemaRefs/>
</ds:datastoreItem>
</file>

<file path=customXml/itemProps2.xml><?xml version="1.0" encoding="utf-8"?>
<ds:datastoreItem xmlns:ds="http://schemas.openxmlformats.org/officeDocument/2006/customXml" ds:itemID="{CE498DBE-A034-4491-A45D-64E8128BB038}">
  <ds:schemaRefs/>
</ds:datastoreItem>
</file>

<file path=customXml/itemProps3.xml><?xml version="1.0" encoding="utf-8"?>
<ds:datastoreItem xmlns:ds="http://schemas.openxmlformats.org/officeDocument/2006/customXml" ds:itemID="{7CE62B2F-0A95-49B6-9696-2AFFF09B00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Instruction</vt:lpstr>
      <vt:lpstr>Feuil1</vt:lpstr>
    </vt:vector>
  </TitlesOfParts>
  <Company>AWB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alila (externe)</dc:creator>
  <cp:lastModifiedBy>HP</cp:lastModifiedBy>
  <cp:lastPrinted>2021-01-06T14:20:03Z</cp:lastPrinted>
  <dcterms:created xsi:type="dcterms:W3CDTF">2021-01-06T08:43:20Z</dcterms:created>
  <dcterms:modified xsi:type="dcterms:W3CDTF">2026-01-30T13:15:07Z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3|AWB-GEN-DDSR|{00000000-0000-0000-0000-000000000000}</vt:lpwstr>
  </property>
</Properties>
</file>