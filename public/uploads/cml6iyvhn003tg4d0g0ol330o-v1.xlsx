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workspace\attijariwafa\platforme\cahier_charges\"/>
    </mc:Choice>
  </mc:AlternateContent>
  <bookViews>
    <workbookView xWindow="0" yWindow="0" windowWidth="19200" windowHeight="7190"/>
  </bookViews>
  <sheets>
    <sheet name="Fiche Instruction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8" l="1"/>
  <c r="D12" i="8"/>
  <c r="L25" i="8"/>
  <c r="C26" i="8"/>
  <c r="D26" i="8"/>
  <c r="E26" i="8"/>
  <c r="F26" i="8"/>
  <c r="G26" i="8"/>
  <c r="H26" i="8"/>
  <c r="I26" i="8"/>
  <c r="J26" i="8"/>
  <c r="B26" i="8"/>
  <c r="L20" i="8"/>
  <c r="L21" i="8"/>
  <c r="L22" i="8"/>
  <c r="L19" i="8"/>
  <c r="L18" i="8"/>
  <c r="D10" i="8" l="1"/>
  <c r="L27" i="8"/>
</calcChain>
</file>

<file path=xl/sharedStrings.xml><?xml version="1.0" encoding="utf-8"?>
<sst xmlns="http://schemas.openxmlformats.org/spreadsheetml/2006/main" count="56" uniqueCount="48">
  <si>
    <t>Cadrage</t>
  </si>
  <si>
    <t>Conception</t>
  </si>
  <si>
    <t>Test Unitaire</t>
  </si>
  <si>
    <t>Test d'Intégration</t>
  </si>
  <si>
    <t>Assistance Recette Utilisateur/ UAT</t>
  </si>
  <si>
    <t>Déploiement</t>
  </si>
  <si>
    <t>Filiale :</t>
  </si>
  <si>
    <t>Phases</t>
  </si>
  <si>
    <t>Instruction</t>
  </si>
  <si>
    <t>Demandeur Filiale :</t>
  </si>
  <si>
    <t>Descriptif du Besoin :</t>
  </si>
  <si>
    <t>Chef de projet IT AFrica:</t>
  </si>
  <si>
    <t>Réalisation</t>
  </si>
  <si>
    <t>Recette</t>
  </si>
  <si>
    <t>Date Début</t>
  </si>
  <si>
    <t>Date Fin</t>
  </si>
  <si>
    <t>Intervenant/Phase projet</t>
  </si>
  <si>
    <t>Planning prévisionnel</t>
  </si>
  <si>
    <t>Chiffrage prévisionnel</t>
  </si>
  <si>
    <t>Charge / phase</t>
  </si>
  <si>
    <t>Total charge / intervenant</t>
  </si>
  <si>
    <t>xxx</t>
  </si>
  <si>
    <t>FICHE D'INSTRUCTION</t>
  </si>
  <si>
    <t>Date Soumission filiale</t>
  </si>
  <si>
    <t>Ref Demande/ Projet :</t>
  </si>
  <si>
    <t>Date Validation Instruction:</t>
  </si>
  <si>
    <t>Date MEP</t>
  </si>
  <si>
    <t>Charge Totale (JH)</t>
  </si>
  <si>
    <t>Charge estimée globale :</t>
  </si>
  <si>
    <t>Développement/ Paramétrage</t>
  </si>
  <si>
    <t>Administration                        Technique</t>
  </si>
  <si>
    <t xml:space="preserve">A noter </t>
  </si>
  <si>
    <t>La charge Pilotage est ventilée sur les différentes phases</t>
  </si>
  <si>
    <t xml:space="preserve">Post Déploiement </t>
  </si>
  <si>
    <t>Assistance Post Déploiement</t>
  </si>
  <si>
    <t>NA pour les  demandes d'évolutions</t>
  </si>
  <si>
    <t xml:space="preserve">La charge relative à l'assistance post déploiement(si applicable) est à intégrer dans la phase de déploiement pour les  demandes d'évolutions </t>
  </si>
  <si>
    <t>Collaborateur 2</t>
  </si>
  <si>
    <t>Collaborateur 3</t>
  </si>
  <si>
    <t>Collaborateur 4</t>
  </si>
  <si>
    <t>Collaborateur 5</t>
  </si>
  <si>
    <t>Collaborateur 6</t>
  </si>
  <si>
    <t>I.KADA</t>
  </si>
  <si>
    <t>Collaborateur (I.KADA)</t>
  </si>
  <si>
    <t>SCB</t>
  </si>
  <si>
    <t>0046751</t>
  </si>
  <si>
    <t>Mise à jour tarification prélèvement SYSTAC</t>
  </si>
  <si>
    <t>Paramétrage des Commision et test du prg TFJ cbmaj014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</si>
</sst>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8"/>
    </xf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3" fillId="0" borderId="1" xfId="0" applyFont="1" applyFill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14" fontId="5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Fill="1" applyBorder="1"/>
    <xf numFmtId="0" fontId="11" fillId="0" borderId="1" xfId="0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14" fontId="11" fillId="0" borderId="1" xfId="0" applyNumberFormat="1" applyFont="1" applyBorder="1" applyAlignment="1">
      <alignment horizontal="right"/>
    </xf>
    <xf numFmtId="0" fontId="7" fillId="0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12700</xdr:rowOff>
    </xdr:from>
    <xdr:to>
      <xdr:col>0</xdr:col>
      <xdr:colOff>1173480</xdr:colOff>
      <xdr:row>0</xdr:row>
      <xdr:rowOff>469265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227AB3C-A79C-4191-976F-B5DBE69453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2700"/>
          <a:ext cx="1106805" cy="469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showGridLines="0" tabSelected="1" zoomScale="43" zoomScaleNormal="48" workbookViewId="0">
      <selection activeCell="O18" sqref="O18"/>
    </sheetView>
  </sheetViews>
  <sheetFormatPr baseColWidth="10" defaultRowHeight="14.5" x14ac:dyDescent="0.35"/>
  <cols>
    <col min="1" max="1" width="26.54296875" style="12" customWidth="1"/>
    <col min="2" max="2" width="19.1796875" style="12" customWidth="1"/>
    <col min="3" max="3" width="27.1796875" style="12" bestFit="1" customWidth="1"/>
    <col min="4" max="4" width="15.26953125" style="12" bestFit="1" customWidth="1"/>
    <col min="5" max="5" width="52" style="12" bestFit="1" customWidth="1"/>
    <col min="6" max="6" width="33.08984375" style="12" bestFit="1" customWidth="1"/>
    <col min="7" max="7" width="14.1796875" style="12" customWidth="1"/>
    <col min="8" max="8" width="15.453125" style="12" customWidth="1"/>
    <col min="9" max="9" width="22.26953125" style="12" bestFit="1" customWidth="1"/>
    <col min="10" max="10" width="14.453125" style="12" bestFit="1" customWidth="1"/>
    <col min="11" max="11" width="27.7265625" style="12" bestFit="1" customWidth="1"/>
    <col min="12" max="12" width="16.1796875" style="12" bestFit="1" customWidth="1"/>
    <col min="13" max="16384" width="10.90625" style="12"/>
  </cols>
  <sheetData>
    <row r="1" spans="1:8" ht="38.15" customHeight="1" x14ac:dyDescent="0.35">
      <c r="C1" s="16" t="s">
        <v>22</v>
      </c>
      <c r="D1" s="16"/>
    </row>
    <row r="3" spans="1:8" x14ac:dyDescent="0.35">
      <c r="A3" s="17"/>
      <c r="B3" s="18"/>
      <c r="C3" s="19" t="s">
        <v>6</v>
      </c>
      <c r="D3" s="20" t="s">
        <v>44</v>
      </c>
    </row>
    <row r="4" spans="1:8" x14ac:dyDescent="0.35">
      <c r="A4" s="17"/>
      <c r="B4" s="18"/>
      <c r="C4" s="19" t="s">
        <v>24</v>
      </c>
      <c r="D4" s="21" t="s">
        <v>45</v>
      </c>
      <c r="E4" s="17"/>
    </row>
    <row r="5" spans="1:8" ht="16.5" customHeight="1" x14ac:dyDescent="0.35">
      <c r="A5" s="17"/>
      <c r="B5" s="18"/>
      <c r="C5" s="18"/>
      <c r="E5" s="17"/>
    </row>
    <row r="6" spans="1:8" x14ac:dyDescent="0.35">
      <c r="A6" s="17" t="s">
        <v>9</v>
      </c>
      <c r="B6" s="22"/>
      <c r="C6" s="18"/>
      <c r="E6" s="17" t="s">
        <v>11</v>
      </c>
      <c r="F6" s="22" t="s">
        <v>42</v>
      </c>
      <c r="G6" s="18"/>
    </row>
    <row r="7" spans="1:8" ht="43.5" x14ac:dyDescent="0.35">
      <c r="A7" s="23" t="s">
        <v>10</v>
      </c>
      <c r="B7" s="24" t="s">
        <v>46</v>
      </c>
      <c r="C7" s="18"/>
      <c r="D7" s="18"/>
      <c r="E7" s="24" t="s">
        <v>47</v>
      </c>
      <c r="F7" s="25"/>
      <c r="G7" s="18"/>
    </row>
    <row r="8" spans="1:8" ht="30.65" customHeight="1" x14ac:dyDescent="0.35">
      <c r="A8" s="26" t="s">
        <v>23</v>
      </c>
      <c r="B8" s="27"/>
      <c r="C8" s="28"/>
      <c r="D8" s="28"/>
      <c r="E8" s="17" t="s">
        <v>25</v>
      </c>
      <c r="F8" s="29"/>
      <c r="G8" s="18"/>
    </row>
    <row r="9" spans="1:8" ht="19" customHeight="1" x14ac:dyDescent="0.35">
      <c r="A9" s="26"/>
      <c r="B9" s="30"/>
      <c r="C9" s="30"/>
      <c r="D9" s="30"/>
      <c r="E9" s="17"/>
      <c r="F9" s="31"/>
      <c r="G9" s="18"/>
    </row>
    <row r="10" spans="1:8" x14ac:dyDescent="0.35">
      <c r="C10" s="32" t="s">
        <v>27</v>
      </c>
      <c r="D10" s="33">
        <f>SUM(L18:L25)</f>
        <v>12</v>
      </c>
      <c r="E10" s="18"/>
      <c r="F10" s="18"/>
    </row>
    <row r="11" spans="1:8" ht="15" customHeight="1" x14ac:dyDescent="0.35">
      <c r="C11" s="32" t="s">
        <v>14</v>
      </c>
      <c r="D11" s="34">
        <f>B35</f>
        <v>46010</v>
      </c>
      <c r="E11" s="18"/>
      <c r="F11" s="18"/>
    </row>
    <row r="12" spans="1:8" x14ac:dyDescent="0.35">
      <c r="C12" s="32" t="s">
        <v>26</v>
      </c>
      <c r="D12" s="34">
        <f>B37</f>
        <v>46025</v>
      </c>
      <c r="E12" s="18"/>
      <c r="F12" s="18"/>
    </row>
    <row r="13" spans="1:8" x14ac:dyDescent="0.35">
      <c r="C13" s="32"/>
      <c r="D13" s="34"/>
      <c r="E13" s="18"/>
      <c r="F13" s="18"/>
    </row>
    <row r="14" spans="1:8" x14ac:dyDescent="0.35">
      <c r="D14" s="18"/>
      <c r="E14" s="18"/>
      <c r="F14" s="18"/>
    </row>
    <row r="15" spans="1:8" x14ac:dyDescent="0.35">
      <c r="A15" s="17"/>
      <c r="B15" s="31"/>
      <c r="C15" s="18"/>
      <c r="D15" s="18"/>
      <c r="E15" s="18"/>
      <c r="F15" s="18"/>
    </row>
    <row r="16" spans="1:8" ht="18.5" x14ac:dyDescent="0.45">
      <c r="A16" s="35" t="s">
        <v>18</v>
      </c>
      <c r="E16" s="36" t="s">
        <v>12</v>
      </c>
      <c r="F16" s="36"/>
      <c r="G16" s="36"/>
      <c r="H16" s="36"/>
    </row>
    <row r="17" spans="1:13" ht="45.65" customHeight="1" x14ac:dyDescent="0.35">
      <c r="A17" s="1" t="s">
        <v>16</v>
      </c>
      <c r="B17" s="2" t="s">
        <v>8</v>
      </c>
      <c r="C17" s="2" t="s">
        <v>0</v>
      </c>
      <c r="D17" s="2" t="s">
        <v>1</v>
      </c>
      <c r="E17" s="2" t="s">
        <v>30</v>
      </c>
      <c r="F17" s="2" t="s">
        <v>29</v>
      </c>
      <c r="G17" s="2" t="s">
        <v>2</v>
      </c>
      <c r="H17" s="2" t="s">
        <v>3</v>
      </c>
      <c r="I17" s="2" t="s">
        <v>4</v>
      </c>
      <c r="J17" s="2" t="s">
        <v>5</v>
      </c>
      <c r="K17" s="2" t="s">
        <v>34</v>
      </c>
      <c r="L17" s="6" t="s">
        <v>20</v>
      </c>
    </row>
    <row r="18" spans="1:13" ht="29.15" customHeight="1" x14ac:dyDescent="0.35">
      <c r="A18" s="10" t="s">
        <v>43</v>
      </c>
      <c r="B18" s="3">
        <v>3</v>
      </c>
      <c r="C18" s="3"/>
      <c r="D18" s="3"/>
      <c r="E18" s="3"/>
      <c r="F18" s="3">
        <v>1</v>
      </c>
      <c r="G18" s="3">
        <v>2</v>
      </c>
      <c r="H18" s="3"/>
      <c r="I18" s="3">
        <v>5</v>
      </c>
      <c r="J18" s="3">
        <v>1</v>
      </c>
      <c r="K18" s="37" t="s">
        <v>35</v>
      </c>
      <c r="L18" s="3">
        <f>SUM(B18:J18)</f>
        <v>12</v>
      </c>
      <c r="M18" s="38"/>
    </row>
    <row r="19" spans="1:13" x14ac:dyDescent="0.35">
      <c r="A19" s="10" t="s">
        <v>37</v>
      </c>
      <c r="B19" s="3"/>
      <c r="C19" s="3"/>
      <c r="D19" s="3"/>
      <c r="E19" s="3"/>
      <c r="F19" s="3"/>
      <c r="G19" s="3"/>
      <c r="H19" s="3"/>
      <c r="I19" s="3"/>
      <c r="J19" s="3"/>
      <c r="K19" s="37"/>
      <c r="L19" s="3">
        <f>SUM(B19:J19)</f>
        <v>0</v>
      </c>
    </row>
    <row r="20" spans="1:13" x14ac:dyDescent="0.35">
      <c r="A20" s="10" t="s">
        <v>38</v>
      </c>
      <c r="B20" s="3"/>
      <c r="C20" s="3"/>
      <c r="D20" s="3"/>
      <c r="E20" s="15"/>
      <c r="F20" s="3"/>
      <c r="G20" s="3"/>
      <c r="H20" s="3"/>
      <c r="I20" s="3"/>
      <c r="J20" s="3"/>
      <c r="K20" s="37"/>
      <c r="L20" s="3">
        <f>SUM(B20:J20)</f>
        <v>0</v>
      </c>
    </row>
    <row r="21" spans="1:13" x14ac:dyDescent="0.35">
      <c r="A21" s="10" t="s">
        <v>39</v>
      </c>
      <c r="B21" s="3"/>
      <c r="C21" s="3"/>
      <c r="D21" s="3"/>
      <c r="E21" s="3"/>
      <c r="F21" s="3"/>
      <c r="G21" s="3"/>
      <c r="H21" s="3"/>
      <c r="I21" s="3"/>
      <c r="J21" s="3"/>
      <c r="K21" s="37"/>
      <c r="L21" s="3">
        <f>SUM(B21:J21)</f>
        <v>0</v>
      </c>
    </row>
    <row r="22" spans="1:13" x14ac:dyDescent="0.35">
      <c r="A22" s="10" t="s">
        <v>40</v>
      </c>
      <c r="B22" s="3"/>
      <c r="C22" s="3"/>
      <c r="D22" s="3"/>
      <c r="E22" s="3"/>
      <c r="F22" s="3"/>
      <c r="G22" s="3"/>
      <c r="H22" s="3"/>
      <c r="I22" s="3"/>
      <c r="J22" s="3"/>
      <c r="K22" s="37"/>
      <c r="L22" s="3">
        <f>SUM(B22:J22)</f>
        <v>0</v>
      </c>
    </row>
    <row r="23" spans="1:13" x14ac:dyDescent="0.35">
      <c r="A23" s="10" t="s">
        <v>41</v>
      </c>
      <c r="B23" s="3"/>
      <c r="C23" s="3"/>
      <c r="D23" s="3"/>
      <c r="E23" s="3"/>
      <c r="F23" s="3"/>
      <c r="G23" s="3"/>
      <c r="H23" s="3"/>
      <c r="I23" s="3"/>
      <c r="J23" s="3"/>
      <c r="K23" s="37"/>
      <c r="L23" s="3"/>
    </row>
    <row r="24" spans="1:13" x14ac:dyDescent="0.35">
      <c r="A24" s="10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7"/>
      <c r="L24" s="3"/>
    </row>
    <row r="25" spans="1:13" x14ac:dyDescent="0.35">
      <c r="A25" s="10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7"/>
      <c r="L25" s="3">
        <f>SUM(B25:J25)</f>
        <v>0</v>
      </c>
    </row>
    <row r="26" spans="1:13" x14ac:dyDescent="0.35">
      <c r="A26" s="7" t="s">
        <v>19</v>
      </c>
      <c r="B26" s="8">
        <f>SUM(B18:B25)</f>
        <v>3</v>
      </c>
      <c r="C26" s="8">
        <f t="shared" ref="C26:J26" si="0">SUM(C18:C25)</f>
        <v>0</v>
      </c>
      <c r="D26" s="8">
        <f t="shared" si="0"/>
        <v>0</v>
      </c>
      <c r="E26" s="8">
        <f t="shared" si="0"/>
        <v>0</v>
      </c>
      <c r="F26" s="8">
        <f t="shared" si="0"/>
        <v>1</v>
      </c>
      <c r="G26" s="8">
        <f t="shared" si="0"/>
        <v>2</v>
      </c>
      <c r="H26" s="8">
        <f t="shared" si="0"/>
        <v>0</v>
      </c>
      <c r="I26" s="8">
        <f t="shared" si="0"/>
        <v>5</v>
      </c>
      <c r="J26" s="8">
        <f t="shared" si="0"/>
        <v>1</v>
      </c>
      <c r="K26" s="8"/>
      <c r="L26" s="8"/>
    </row>
    <row r="27" spans="1:13" ht="25" x14ac:dyDescent="0.35">
      <c r="A27" s="39" t="s">
        <v>31</v>
      </c>
      <c r="B27" s="18" t="s">
        <v>32</v>
      </c>
      <c r="C27" s="18"/>
      <c r="D27" s="18"/>
      <c r="E27" s="18"/>
      <c r="F27" s="18"/>
      <c r="J27" s="6"/>
      <c r="K27" s="6" t="s">
        <v>28</v>
      </c>
      <c r="L27" s="6" t="str">
        <f>_xlfn.CONCAT(SUM(L18:L25)," JH")</f>
        <v>12 JH</v>
      </c>
    </row>
    <row r="28" spans="1:13" x14ac:dyDescent="0.35">
      <c r="A28" s="18"/>
      <c r="B28" s="18" t="s">
        <v>36</v>
      </c>
      <c r="C28" s="18"/>
      <c r="D28" s="18"/>
      <c r="E28" s="18"/>
      <c r="F28" s="18"/>
    </row>
    <row r="30" spans="1:13" ht="18.5" x14ac:dyDescent="0.45">
      <c r="A30" s="35" t="s">
        <v>17</v>
      </c>
    </row>
    <row r="31" spans="1:13" x14ac:dyDescent="0.35">
      <c r="A31" s="4" t="s">
        <v>7</v>
      </c>
      <c r="B31" s="5" t="s">
        <v>14</v>
      </c>
      <c r="C31" s="5" t="s">
        <v>15</v>
      </c>
      <c r="D31" s="40"/>
    </row>
    <row r="32" spans="1:13" ht="15.5" x14ac:dyDescent="0.35">
      <c r="A32" s="9" t="s">
        <v>8</v>
      </c>
      <c r="B32" s="14">
        <v>46006</v>
      </c>
      <c r="C32" s="14">
        <v>46008</v>
      </c>
      <c r="D32" s="41"/>
    </row>
    <row r="33" spans="1:4" ht="15.5" x14ac:dyDescent="0.35">
      <c r="A33" s="9" t="s">
        <v>0</v>
      </c>
      <c r="B33" s="14"/>
      <c r="C33" s="13"/>
      <c r="D33" s="41"/>
    </row>
    <row r="34" spans="1:4" ht="15.5" x14ac:dyDescent="0.35">
      <c r="A34" s="9" t="s">
        <v>1</v>
      </c>
      <c r="B34" s="14">
        <v>46009</v>
      </c>
      <c r="C34" s="14">
        <v>46009</v>
      </c>
      <c r="D34" s="41"/>
    </row>
    <row r="35" spans="1:4" ht="15.5" x14ac:dyDescent="0.35">
      <c r="A35" s="9" t="s">
        <v>12</v>
      </c>
      <c r="B35" s="13">
        <v>46010</v>
      </c>
      <c r="C35" s="13">
        <v>46010</v>
      </c>
      <c r="D35" s="41"/>
    </row>
    <row r="36" spans="1:4" ht="15.5" x14ac:dyDescent="0.35">
      <c r="A36" s="9" t="s">
        <v>13</v>
      </c>
      <c r="B36" s="13">
        <v>46013</v>
      </c>
      <c r="C36" s="13">
        <v>46021</v>
      </c>
      <c r="D36" s="41"/>
    </row>
    <row r="37" spans="1:4" ht="15.5" x14ac:dyDescent="0.35">
      <c r="A37" s="9" t="s">
        <v>5</v>
      </c>
      <c r="B37" s="13">
        <v>46025</v>
      </c>
      <c r="C37" s="13">
        <v>46025</v>
      </c>
      <c r="D37" s="41"/>
    </row>
    <row r="38" spans="1:4" ht="15.5" x14ac:dyDescent="0.35">
      <c r="A38" s="11" t="s">
        <v>33</v>
      </c>
      <c r="B38" s="12" t="s">
        <v>35</v>
      </c>
    </row>
  </sheetData>
  <mergeCells count="3">
    <mergeCell ref="E16:H16"/>
    <mergeCell ref="C1:D1"/>
    <mergeCell ref="K18:K25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RightsWATCHMark">3|AWB-GEN-DDSR|{00000000-0000-0000-0000-000000000000}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CLASSIFICATIONDATETIME%">13:45 23/03/2023</XMLData>
</file>

<file path=customXml/itemProps1.xml><?xml version="1.0" encoding="utf-8"?>
<ds:datastoreItem xmlns:ds="http://schemas.openxmlformats.org/officeDocument/2006/customXml" ds:itemID="{7CE62B2F-0A95-49B6-9696-2AFFF09B0083}">
  <ds:schemaRefs/>
</ds:datastoreItem>
</file>

<file path=customXml/itemProps2.xml><?xml version="1.0" encoding="utf-8"?>
<ds:datastoreItem xmlns:ds="http://schemas.openxmlformats.org/officeDocument/2006/customXml" ds:itemID="{7EBC9C26-D88B-464D-BDBB-7B2C040B7756}">
  <ds:schemaRefs/>
</ds:datastoreItem>
</file>

<file path=customXml/itemProps3.xml><?xml version="1.0" encoding="utf-8"?>
<ds:datastoreItem xmlns:ds="http://schemas.openxmlformats.org/officeDocument/2006/customXml" ds:itemID="{CE498DBE-A034-4491-A45D-64E8128BB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Instruction</vt:lpstr>
    </vt:vector>
  </TitlesOfParts>
  <Company>AWB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alila (externe)</dc:creator>
  <cp:lastModifiedBy>HP</cp:lastModifiedBy>
  <cp:lastPrinted>2021-01-06T14:20:03Z</cp:lastPrinted>
  <dcterms:created xsi:type="dcterms:W3CDTF">2021-01-06T08:43:20Z</dcterms:created>
  <dcterms:modified xsi:type="dcterms:W3CDTF">2026-01-30T16:20:47Z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3|AWB-GEN-DDSR|{00000000-0000-0000-0000-000000000000}</vt:lpwstr>
  </property>
</Properties>
</file>